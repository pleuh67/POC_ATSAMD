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ili\Documents\Arduino\POC_ATSAMD\"/>
    </mc:Choice>
  </mc:AlternateContent>
  <bookViews>
    <workbookView xWindow="0" yWindow="0" windowWidth="2370" windowHeight="4365"/>
  </bookViews>
  <sheets>
    <sheet name="Feuil1" sheetId="1" r:id="rId1"/>
  </sheets>
  <definedNames>
    <definedName name="poids">Feuil1!$E$1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I20" i="1"/>
  <c r="I23" i="1" l="1"/>
  <c r="I22" i="1"/>
  <c r="G20" i="1"/>
  <c r="G21" i="1"/>
  <c r="G23" i="1"/>
  <c r="G22" i="1"/>
  <c r="G10" i="1" l="1"/>
  <c r="I10" i="1" s="1"/>
  <c r="G8" i="1" l="1"/>
  <c r="I8" i="1" s="1"/>
  <c r="G9" i="1"/>
  <c r="I9" i="1" s="1"/>
  <c r="D14" i="1"/>
  <c r="F14" i="1"/>
  <c r="G6" i="1"/>
  <c r="I6" i="1" s="1"/>
  <c r="G7" i="1"/>
  <c r="I7" i="1" s="1"/>
  <c r="H15" i="1" l="1"/>
  <c r="H14" i="1"/>
  <c r="G3" i="1"/>
  <c r="I3" i="1" s="1"/>
  <c r="G4" i="1"/>
  <c r="I4" i="1" s="1"/>
  <c r="G5" i="1"/>
  <c r="I5" i="1" s="1"/>
  <c r="G2" i="1"/>
  <c r="I2" i="1" s="1"/>
</calcChain>
</file>

<file path=xl/sharedStrings.xml><?xml version="1.0" encoding="utf-8"?>
<sst xmlns="http://schemas.openxmlformats.org/spreadsheetml/2006/main" count="13" uniqueCount="12">
  <si>
    <t>moyenne</t>
  </si>
  <si>
    <t>E - C</t>
  </si>
  <si>
    <t>ech</t>
  </si>
  <si>
    <t>T</t>
  </si>
  <si>
    <t>Av</t>
  </si>
  <si>
    <t>{-21000,-23208.92,20,0},     // J03 évolution valeurs en négatif. tester sur bornier</t>
  </si>
  <si>
    <t>Tare</t>
  </si>
  <si>
    <t>DHT22</t>
  </si>
  <si>
    <t>A</t>
  </si>
  <si>
    <t>D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</si>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</sst>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H30" sqref="H30"/>
    </sheetView>
  </sheetViews>
  <sheetFormatPr baseColWidth="10" defaultRowHeight="15" x14ac:dyDescent="0.25"/>
  <cols>
    <col min="9" max="9" width="14" customWidth="1"/>
  </cols>
  <sheetData>
    <row r="1" spans="1:10" x14ac:dyDescent="0.25">
      <c r="A1" t="s">
        <v>0</v>
      </c>
      <c r="C1" t="s">
        <v>6</v>
      </c>
      <c r="E1">
        <v>2.331</v>
      </c>
      <c r="G1" t="s">
        <v>1</v>
      </c>
      <c r="I1" t="s">
        <v>2</v>
      </c>
    </row>
    <row r="2" spans="1:10" x14ac:dyDescent="0.25">
      <c r="A2">
        <v>19</v>
      </c>
      <c r="C2" s="1">
        <v>191991</v>
      </c>
      <c r="E2" s="1">
        <v>446547</v>
      </c>
      <c r="G2">
        <f>+E2-C2</f>
        <v>254556</v>
      </c>
      <c r="I2">
        <f t="shared" ref="I2:I9" si="0">G2/poids</f>
        <v>109204.63320463321</v>
      </c>
    </row>
    <row r="3" spans="1:10" x14ac:dyDescent="0.25">
      <c r="A3">
        <v>21</v>
      </c>
      <c r="C3" s="1">
        <v>-21641</v>
      </c>
      <c r="E3" s="1">
        <v>227141</v>
      </c>
      <c r="G3">
        <f t="shared" ref="G3:G4" si="1">+E3-C3</f>
        <v>248782</v>
      </c>
      <c r="I3">
        <f t="shared" si="0"/>
        <v>106727.58472758473</v>
      </c>
    </row>
    <row r="4" spans="1:10" x14ac:dyDescent="0.25">
      <c r="A4">
        <v>14</v>
      </c>
      <c r="C4" s="1">
        <v>120867</v>
      </c>
      <c r="E4" s="1">
        <v>361627</v>
      </c>
      <c r="G4">
        <f t="shared" si="1"/>
        <v>240760</v>
      </c>
      <c r="I4">
        <f t="shared" si="0"/>
        <v>103286.14328614328</v>
      </c>
    </row>
    <row r="5" spans="1:10" x14ac:dyDescent="0.25">
      <c r="A5">
        <v>17</v>
      </c>
      <c r="C5" s="1">
        <v>150598</v>
      </c>
      <c r="E5" s="1">
        <v>393888</v>
      </c>
      <c r="G5">
        <f>+E5-C5</f>
        <v>243290</v>
      </c>
      <c r="I5">
        <f t="shared" si="0"/>
        <v>104371.51437151438</v>
      </c>
    </row>
    <row r="6" spans="1:10" x14ac:dyDescent="0.25">
      <c r="G6">
        <f t="shared" ref="G6:G8" si="2">+E6-C6</f>
        <v>0</v>
      </c>
      <c r="I6">
        <f t="shared" si="0"/>
        <v>0</v>
      </c>
    </row>
    <row r="7" spans="1:10" x14ac:dyDescent="0.25">
      <c r="A7">
        <v>3</v>
      </c>
      <c r="C7" s="1">
        <v>-21800</v>
      </c>
      <c r="E7" s="1">
        <v>-75900</v>
      </c>
      <c r="G7">
        <f t="shared" si="2"/>
        <v>-54100</v>
      </c>
      <c r="I7">
        <f t="shared" si="0"/>
        <v>-23208.92320892321</v>
      </c>
    </row>
    <row r="8" spans="1:10" x14ac:dyDescent="0.25">
      <c r="A8">
        <v>8</v>
      </c>
      <c r="C8" s="1">
        <v>-35751</v>
      </c>
      <c r="E8" s="1">
        <v>-88863</v>
      </c>
      <c r="G8">
        <f t="shared" si="2"/>
        <v>-53112</v>
      </c>
      <c r="I8">
        <f t="shared" si="0"/>
        <v>-22785.070785070784</v>
      </c>
    </row>
    <row r="9" spans="1:10" x14ac:dyDescent="0.25">
      <c r="A9">
        <v>9</v>
      </c>
      <c r="C9" s="1">
        <v>-28026</v>
      </c>
      <c r="E9" s="1">
        <v>-81617</v>
      </c>
      <c r="G9">
        <f t="shared" ref="G9:G10" si="3">+E9-C9</f>
        <v>-53591</v>
      </c>
      <c r="I9">
        <f t="shared" si="0"/>
        <v>-22990.56199056199</v>
      </c>
    </row>
    <row r="10" spans="1:10" x14ac:dyDescent="0.25">
      <c r="A10">
        <v>6</v>
      </c>
      <c r="C10" s="1">
        <v>-142358</v>
      </c>
      <c r="E10" s="1">
        <v>-362886</v>
      </c>
      <c r="G10">
        <f t="shared" si="3"/>
        <v>-220528</v>
      </c>
      <c r="H10">
        <v>11000</v>
      </c>
      <c r="I10">
        <f>G10/11</f>
        <v>-20048</v>
      </c>
      <c r="J10" t="s">
        <v>7</v>
      </c>
    </row>
    <row r="13" spans="1:10" x14ac:dyDescent="0.25">
      <c r="A13" t="s">
        <v>3</v>
      </c>
      <c r="B13" t="s">
        <v>4</v>
      </c>
    </row>
    <row r="14" spans="1:10" x14ac:dyDescent="0.25">
      <c r="A14">
        <v>-21000</v>
      </c>
      <c r="B14">
        <v>-75826</v>
      </c>
      <c r="D14">
        <f>B14-A14</f>
        <v>-54826</v>
      </c>
      <c r="F14">
        <f>D14*-1</f>
        <v>54826</v>
      </c>
      <c r="H14">
        <f>D14/I7</f>
        <v>2.3622810720887246</v>
      </c>
    </row>
    <row r="15" spans="1:10" x14ac:dyDescent="0.25">
      <c r="H15">
        <f>F14/I7</f>
        <v>-2.3622810720887246</v>
      </c>
    </row>
    <row r="18" spans="1:10" x14ac:dyDescent="0.25">
      <c r="G18" t="s">
        <v>5</v>
      </c>
    </row>
    <row r="19" spans="1:10" x14ac:dyDescent="0.25">
      <c r="A19" s="2">
        <v>46069</v>
      </c>
      <c r="E19">
        <v>11</v>
      </c>
    </row>
    <row r="20" spans="1:10" x14ac:dyDescent="0.25">
      <c r="A20">
        <v>6</v>
      </c>
      <c r="B20" t="s">
        <v>8</v>
      </c>
      <c r="C20" s="1">
        <v>-172934</v>
      </c>
      <c r="E20" s="1">
        <v>-392624</v>
      </c>
      <c r="G20">
        <f t="shared" ref="G20" si="4">+E20-C20</f>
        <v>-219690</v>
      </c>
      <c r="H20">
        <v>11000</v>
      </c>
      <c r="I20">
        <f>G20/E19</f>
        <v>-19971.81818181818</v>
      </c>
      <c r="J20" t="s">
        <v>7</v>
      </c>
    </row>
    <row r="21" spans="1:10" x14ac:dyDescent="0.25">
      <c r="A21">
        <v>9</v>
      </c>
      <c r="B21" t="s">
        <v>11</v>
      </c>
      <c r="C21" s="1">
        <v>-59236</v>
      </c>
      <c r="E21" s="1">
        <v>-279443</v>
      </c>
      <c r="G21">
        <f>+E21-C21</f>
        <v>-220207</v>
      </c>
      <c r="I21">
        <f>G21/E19</f>
        <v>-20018.81818181818</v>
      </c>
    </row>
    <row r="22" spans="1:10" x14ac:dyDescent="0.25">
      <c r="A22">
        <v>3</v>
      </c>
      <c r="B22" t="s">
        <v>10</v>
      </c>
      <c r="C22" s="1">
        <v>-62120</v>
      </c>
      <c r="E22" s="1">
        <v>-294826</v>
      </c>
      <c r="G22">
        <f>+E22-C22</f>
        <v>-232706</v>
      </c>
      <c r="I22">
        <f>G22/E19</f>
        <v>-21155.090909090908</v>
      </c>
    </row>
    <row r="23" spans="1:10" x14ac:dyDescent="0.25">
      <c r="A23">
        <v>8</v>
      </c>
      <c r="B23" t="s">
        <v>9</v>
      </c>
      <c r="C23" s="1">
        <v>-66631</v>
      </c>
      <c r="E23" s="1">
        <v>-298634</v>
      </c>
      <c r="G23">
        <f>+E23-C23</f>
        <v>-232003</v>
      </c>
      <c r="I23">
        <f>G23/E19</f>
        <v>-21091.18181818182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poids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LETT</dc:creator>
  <cp:lastModifiedBy>Philippe LETT</cp:lastModifiedBy>
  <dcterms:created xsi:type="dcterms:W3CDTF">2026-01-30T18:54:41Z</dcterms:created>
  <dcterms:modified xsi:type="dcterms:W3CDTF">2026-02-18T16:22:10Z</dcterms:modified>
</cp:coreProperties>
</file>